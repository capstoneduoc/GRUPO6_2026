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2 avance-escuela\G6\Evidencias Grupales\"/>
    </mc:Choice>
  </mc:AlternateContent>
  <xr:revisionPtr revIDLastSave="0" documentId="13_ncr:1_{CADA445D-CF50-4F61-BC7F-CFE36340F2EA}"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s="1"/>
  <c r="C5" i="1" l="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<sst xmlns="http://schemas.openxmlformats.org/spreadsheetml/2006/main" count="84" uniqueCount="66">
  <si>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</si>
  <si>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</si>
  <si>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</si>
  <si>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</si>
  <si>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</si>
  <si>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</si>
  <si>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</si>
  <si>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</si>
  <si>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</si>
  <si>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</si>
  <si>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</si>
  <si>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</si>
  <si>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</si>
  <si>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</si>
  <si>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</si>
  <si>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</si>
  <si>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</si>
  <si>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</si>
  <si>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</si>
  <si>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</si>
  <si>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</si>
  <si>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</si>
  <si>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</si>
  <si>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</si>
  <si>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</si>
  <si>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</si>
  <si>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</si>
  <si>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</si>
  <si>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</si>
  <si>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</si>
  <si>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</si>
  <si>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</si>
  <si>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</si>
  <si>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</si>
  <si>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</si>
  <si>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</si>
  <si>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</si>
  <si>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</si>
  <si>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</si>
  <si>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</si>
  <si>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</si>
  <si>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</si>
  <si>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</si>
  <si>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</si>
  <si>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</si>
  <si>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</si>
  <si>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</si>
  <si>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</si>
  <si>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</si>
  <si>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</si>
  <si>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</si>
  <si>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</si>
  <si>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</si>
  <si>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</si>
  <si>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</si>
  <si>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</si>
  <si>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</si>
  <si>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</si>
  <si>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</si>
  <si>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</si>
  <si>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</si>
  <si>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</si>
  <si>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</si>
  <si>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ROMAN ZAMORA CRISTOBAL</t>
  </si>
  <si>
    <t>UBILLA PAREDES RENATO IGNACIO</t>
  </si>
  <si>
    <t>VALENZUELA BASTIAS DIEGO ALBERTO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</si>
</sst>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G5" sqref="G5"/>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6.6</v>
      </c>
      <c r="G4" s="1"/>
    </row>
    <row r="5" spans="1:11" ht="14.25" x14ac:dyDescent="0.45">
      <c r="A5" s="4">
        <v>2</v>
      </c>
      <c r="B5" s="39" t="s">
        <v>64</v>
      </c>
      <c r="C5" s="5">
        <f>EVALUACION2!$C$22</f>
        <v>6.6</v>
      </c>
      <c r="G5" s="1"/>
    </row>
    <row r="6" spans="1:11" ht="14.25" x14ac:dyDescent="0.45">
      <c r="A6" s="4">
        <v>3</v>
      </c>
      <c r="B6" s="39" t="s">
        <v>65</v>
      </c>
      <c r="C6" s="5">
        <f>EVALUACION2!$C$22</f>
        <v>6.6</v>
      </c>
      <c r="G6" s="1"/>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6</v>
      </c>
      <c r="D17" s="15" t="str">
        <f t="shared" si="0"/>
        <v/>
      </c>
      <c r="E17" s="15" t="str">
        <f>IF(D17="X",100*0.05,"")</f>
        <v/>
      </c>
      <c r="F17" s="15" t="str">
        <f t="shared" si="1"/>
        <v>X</v>
      </c>
      <c r="G17" s="15">
        <f>IF(F17="X",60*0.05,"")</f>
        <v>3</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94</v>
      </c>
      <c r="D21" s="16"/>
      <c r="E21" s="16">
        <f>SUM(E13:E20)</f>
        <v>85</v>
      </c>
      <c r="F21" s="16"/>
      <c r="G21" s="16">
        <f>SUM(G13:G20)</f>
        <v>9</v>
      </c>
      <c r="H21" s="16"/>
      <c r="I21" s="16">
        <f>SUM(I13:I20)</f>
        <v>0</v>
      </c>
      <c r="J21" s="16"/>
      <c r="K21" s="16">
        <f>SUM(K13:K20)</f>
        <v>0</v>
      </c>
    </row>
    <row r="22" spans="1:11" ht="15.75" customHeight="1" outlineLevel="1" x14ac:dyDescent="0.55000000000000004">
      <c r="A22" s="43"/>
      <c r="B22" s="29" t="s">
        <v>13</v>
      </c>
      <c r="C22" s="17">
        <f>VLOOKUP(C21,ESCALA_IEP!A2:B202,2,FALSE)</f>
        <v>6.6</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2026-10-26T12:28:47Z</dcterms:modified>
</cp:coreProperties>
</file>